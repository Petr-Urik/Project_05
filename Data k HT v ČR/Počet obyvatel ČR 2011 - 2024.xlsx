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Data k HT v ČR\"/>
    </mc:Choice>
  </mc:AlternateContent>
  <xr:revisionPtr revIDLastSave="0" documentId="13_ncr:1_{D78120D2-1026-40AB-BA96-68E6F2A1271A}" xr6:coauthVersionLast="47" xr6:coauthVersionMax="47" xr10:uidLastSave="{00000000-0000-0000-0000-000000000000}"/>
  <bookViews>
    <workbookView xWindow="-108" yWindow="-108" windowWidth="23256" windowHeight="12456" activeTab="4" xr2:uid="{232128D4-B2DD-4265-9946-882ACEFEB722}"/>
  </bookViews>
  <sheets>
    <sheet name="ČR" sheetId="1" r:id="rId1"/>
    <sheet name="2011-17" sheetId="2" r:id="rId2"/>
    <sheet name="2018-24" sheetId="3" r:id="rId3"/>
    <sheet name="2011-24" sheetId="4" r:id="rId4"/>
    <sheet name="Populace 2011-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J15" i="1"/>
  <c r="J2" i="1"/>
</calcChain>
</file>

<file path=xl/sharedStrings.xml><?xml version="1.0" encoding="utf-8"?>
<sst xmlns="http://schemas.openxmlformats.org/spreadsheetml/2006/main" count="70" uniqueCount="27">
  <si>
    <t>Rok</t>
  </si>
  <si>
    <t>Počet obyvatel (stav k 31. 12.)</t>
  </si>
  <si>
    <t>Poznámka</t>
  </si>
  <si>
    <t>Po sčítání lidu 2011</t>
  </si>
  <si>
    <t>Po sčítání lidu 2021 (pokles v důsledku nové metodiky)</t>
  </si>
  <si>
    <t>Nárůst v souvislosti s migrační vlnou z Ukrajiny</t>
  </si>
  <si>
    <t>Předběžný údaj (historické maximum od konce 2. sv. války)</t>
  </si>
  <si>
    <t>gg</t>
  </si>
  <si>
    <t>mil</t>
  </si>
  <si>
    <t>x</t>
  </si>
  <si>
    <t>100t</t>
  </si>
  <si>
    <t>x je gg.100t/mil</t>
  </si>
  <si>
    <t>na 100000 ob</t>
  </si>
  <si>
    <t>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</si>
  <si>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</si>
  <si>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</si>
  <si>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</si>
  <si>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</si>
  <si>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</si>
  <si>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</si>
  <si>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</si>
  <si>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</si>
  <si>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Vysočina</t>
  </si>
  <si>
    <t>Jihomoravský</t>
  </si>
  <si>
    <t>Olomoucký</t>
  </si>
  <si>
    <t>Zlínský</t>
  </si>
  <si>
    <t>Moravskoslezský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</si>
</sst>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F3C4-48F1-4844-9456-194D1874DC0C}">
  <dimension ref="A1:T16"/>
  <sheetViews>
    <sheetView workbookViewId="0">
      <selection activeCell="F19" sqref="F19"/>
    </sheetView>
  </sheetViews>
  <sheetFormatPr defaultRowHeight="14.4" x14ac:dyDescent="0.3"/>
  <cols>
    <col min="10" max="10" width="15.44140625" bestFit="1" customWidth="1"/>
  </cols>
  <sheetData>
    <row r="1" spans="1:20" ht="54" thickBot="1" x14ac:dyDescent="0.3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20" ht="15" thickBot="1" x14ac:dyDescent="0.35">
      <c r="A2" s="2">
        <v>2011</v>
      </c>
      <c r="B2" s="2">
        <v>10505445</v>
      </c>
      <c r="C2" s="3" t="s">
        <v>3</v>
      </c>
      <c r="D2" s="1"/>
      <c r="E2" s="1"/>
      <c r="F2" s="1"/>
      <c r="J2">
        <f xml:space="preserve"> M2/B2</f>
        <v>0.17784805879236909</v>
      </c>
      <c r="M2">
        <v>1868373</v>
      </c>
    </row>
    <row r="3" spans="1:20" ht="15" thickBot="1" x14ac:dyDescent="0.35">
      <c r="A3" s="2">
        <v>2012</v>
      </c>
      <c r="B3" s="2">
        <v>10516125</v>
      </c>
      <c r="C3" s="1"/>
      <c r="D3" s="1"/>
      <c r="E3" s="1"/>
      <c r="F3" s="1"/>
    </row>
    <row r="4" spans="1:20" ht="15" thickBot="1" x14ac:dyDescent="0.35">
      <c r="A4" s="2">
        <v>2013</v>
      </c>
      <c r="B4" s="2">
        <v>10512419</v>
      </c>
      <c r="C4" s="1"/>
      <c r="D4" s="1"/>
      <c r="E4" s="1"/>
      <c r="F4" s="1"/>
    </row>
    <row r="5" spans="1:20" ht="15" thickBot="1" x14ac:dyDescent="0.35">
      <c r="A5" s="2">
        <v>2014</v>
      </c>
      <c r="B5" s="2">
        <v>10538275</v>
      </c>
      <c r="C5" s="1"/>
      <c r="D5" s="1"/>
      <c r="E5" s="1"/>
      <c r="F5" s="1"/>
    </row>
    <row r="6" spans="1:20" ht="15" thickBot="1" x14ac:dyDescent="0.35">
      <c r="A6" s="2">
        <v>2015</v>
      </c>
      <c r="B6" s="2">
        <v>10553843</v>
      </c>
      <c r="C6" s="1"/>
      <c r="D6" s="1"/>
      <c r="E6" s="1"/>
      <c r="F6" s="1"/>
      <c r="R6" t="s">
        <v>7</v>
      </c>
      <c r="T6" t="s">
        <v>8</v>
      </c>
    </row>
    <row r="7" spans="1:20" ht="15" thickBot="1" x14ac:dyDescent="0.35">
      <c r="A7" s="2">
        <v>2016</v>
      </c>
      <c r="B7" s="2">
        <v>10578820</v>
      </c>
      <c r="C7" s="1"/>
      <c r="D7" s="1"/>
      <c r="E7" s="1"/>
      <c r="F7" s="1"/>
    </row>
    <row r="8" spans="1:20" ht="15" thickBot="1" x14ac:dyDescent="0.35">
      <c r="A8" s="2">
        <v>2017</v>
      </c>
      <c r="B8" s="2">
        <v>10610055</v>
      </c>
      <c r="C8" s="1"/>
      <c r="D8" s="1"/>
      <c r="E8" s="1"/>
      <c r="F8" s="1"/>
      <c r="R8" t="s">
        <v>9</v>
      </c>
      <c r="T8" t="s">
        <v>10</v>
      </c>
    </row>
    <row r="9" spans="1:20" ht="15" thickBot="1" x14ac:dyDescent="0.35">
      <c r="A9" s="2">
        <v>2018</v>
      </c>
      <c r="B9" s="2">
        <v>10649800</v>
      </c>
      <c r="C9" s="1"/>
      <c r="D9" s="1"/>
      <c r="E9" s="1"/>
      <c r="F9" s="1"/>
    </row>
    <row r="10" spans="1:20" ht="15" thickBot="1" x14ac:dyDescent="0.35">
      <c r="A10" s="2">
        <v>2019</v>
      </c>
      <c r="B10" s="2">
        <v>10693939</v>
      </c>
      <c r="C10" s="1"/>
      <c r="D10" s="1"/>
      <c r="E10" s="1"/>
      <c r="F10" s="1"/>
    </row>
    <row r="11" spans="1:20" ht="15" thickBot="1" x14ac:dyDescent="0.35">
      <c r="A11" s="2">
        <v>2020</v>
      </c>
      <c r="B11" s="2">
        <v>10701777</v>
      </c>
      <c r="C11" s="1"/>
      <c r="D11" s="1"/>
      <c r="E11" s="1"/>
      <c r="F11" s="1"/>
      <c r="R11" t="s">
        <v>11</v>
      </c>
    </row>
    <row r="12" spans="1:20" ht="15" thickBot="1" x14ac:dyDescent="0.35">
      <c r="A12" s="2">
        <v>2021</v>
      </c>
      <c r="B12" s="2">
        <v>10516707</v>
      </c>
      <c r="C12" s="3" t="s">
        <v>4</v>
      </c>
      <c r="D12" s="1"/>
      <c r="E12" s="1"/>
      <c r="F12" s="1"/>
    </row>
    <row r="13" spans="1:20" ht="15" thickBot="1" x14ac:dyDescent="0.35">
      <c r="A13" s="2">
        <v>2022</v>
      </c>
      <c r="B13" s="2">
        <v>10827529</v>
      </c>
      <c r="C13" s="3" t="s">
        <v>5</v>
      </c>
      <c r="D13" s="1"/>
      <c r="E13" s="1"/>
      <c r="F13" s="1"/>
    </row>
    <row r="14" spans="1:20" ht="15" thickBot="1" x14ac:dyDescent="0.35">
      <c r="A14" s="2">
        <v>2023</v>
      </c>
      <c r="B14" s="2">
        <v>10900555</v>
      </c>
      <c r="C14" s="1"/>
      <c r="D14" s="1"/>
      <c r="E14" s="1"/>
      <c r="F14" s="1"/>
    </row>
    <row r="15" spans="1:20" ht="15" thickBot="1" x14ac:dyDescent="0.35">
      <c r="A15" s="2">
        <v>2024</v>
      </c>
      <c r="B15" s="2">
        <v>10909500</v>
      </c>
      <c r="C15" s="3" t="s">
        <v>6</v>
      </c>
      <c r="D15" s="1"/>
      <c r="E15" s="1"/>
      <c r="F15" s="1"/>
      <c r="J15">
        <f>M15/B15</f>
        <v>0.2157682753563408</v>
      </c>
      <c r="M15">
        <v>2353924</v>
      </c>
      <c r="P15">
        <f>J15*100000</f>
        <v>21576.827535634078</v>
      </c>
      <c r="Q15" t="s">
        <v>12</v>
      </c>
    </row>
    <row r="16" spans="1:20" ht="15" thickBot="1" x14ac:dyDescent="0.35">
      <c r="A16" s="1"/>
      <c r="B16" s="1"/>
      <c r="C16" s="1"/>
      <c r="D16" s="1"/>
      <c r="E16" s="1"/>
      <c r="F16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A90C-00F7-4090-997F-92F7B44D683F}">
  <dimension ref="A1:H15"/>
  <sheetViews>
    <sheetView workbookViewId="0">
      <selection activeCell="E18" sqref="E18"/>
    </sheetView>
  </sheetViews>
  <sheetFormatPr defaultRowHeight="14.4" x14ac:dyDescent="0.3"/>
  <cols>
    <col min="1" max="1" width="8.6640625" bestFit="1" customWidth="1"/>
  </cols>
  <sheetData>
    <row r="1" spans="1:8" ht="15" thickBot="1" x14ac:dyDescent="0.35">
      <c r="A1" s="1" t="s">
        <v>13</v>
      </c>
      <c r="B1" s="2">
        <v>1241664</v>
      </c>
      <c r="C1" s="2">
        <v>1246780</v>
      </c>
      <c r="D1" s="2">
        <v>1243201</v>
      </c>
      <c r="E1" s="2">
        <v>1259079</v>
      </c>
      <c r="F1" s="2">
        <v>1267449</v>
      </c>
      <c r="G1" s="2">
        <v>1280508</v>
      </c>
      <c r="H1" s="2">
        <v>1294513</v>
      </c>
    </row>
    <row r="2" spans="1:8" ht="27.6" thickBot="1" x14ac:dyDescent="0.35">
      <c r="A2" s="1" t="s">
        <v>14</v>
      </c>
      <c r="B2" s="2">
        <v>1279345</v>
      </c>
      <c r="C2" s="2">
        <v>1291816</v>
      </c>
      <c r="D2" s="2">
        <v>1302336</v>
      </c>
      <c r="E2" s="2">
        <v>1315299</v>
      </c>
      <c r="F2" s="2">
        <v>1326876</v>
      </c>
      <c r="G2" s="2">
        <v>1338982</v>
      </c>
      <c r="H2" s="2">
        <v>1352795</v>
      </c>
    </row>
    <row r="3" spans="1:8" ht="27.6" thickBot="1" x14ac:dyDescent="0.35">
      <c r="A3" s="1" t="s">
        <v>15</v>
      </c>
      <c r="B3" s="2">
        <v>636017</v>
      </c>
      <c r="C3" s="2">
        <v>636611</v>
      </c>
      <c r="D3" s="2">
        <v>636443</v>
      </c>
      <c r="E3" s="2">
        <v>637300</v>
      </c>
      <c r="F3" s="2">
        <v>637834</v>
      </c>
      <c r="G3" s="2">
        <v>638782</v>
      </c>
      <c r="H3" s="2">
        <v>640196</v>
      </c>
    </row>
    <row r="4" spans="1:8" ht="15" thickBot="1" x14ac:dyDescent="0.35">
      <c r="A4" s="1" t="s">
        <v>16</v>
      </c>
      <c r="B4" s="2">
        <v>571709</v>
      </c>
      <c r="C4" s="2">
        <v>572687</v>
      </c>
      <c r="D4" s="2">
        <v>573463</v>
      </c>
      <c r="E4" s="2">
        <v>575123</v>
      </c>
      <c r="F4" s="2">
        <v>576635</v>
      </c>
      <c r="G4" s="2">
        <v>578629</v>
      </c>
      <c r="H4" s="2">
        <v>580816</v>
      </c>
    </row>
    <row r="5" spans="1:8" ht="27.6" thickBot="1" x14ac:dyDescent="0.35">
      <c r="A5" s="1" t="s">
        <v>17</v>
      </c>
      <c r="B5" s="2">
        <v>303165</v>
      </c>
      <c r="C5" s="2">
        <v>301726</v>
      </c>
      <c r="D5" s="2">
        <v>299631</v>
      </c>
      <c r="E5" s="2">
        <v>299142</v>
      </c>
      <c r="F5" s="2">
        <v>297828</v>
      </c>
      <c r="G5" s="2">
        <v>296739</v>
      </c>
      <c r="H5" s="2">
        <v>295686</v>
      </c>
    </row>
    <row r="6" spans="1:8" ht="15" thickBot="1" x14ac:dyDescent="0.35">
      <c r="A6" s="1" t="s">
        <v>18</v>
      </c>
      <c r="B6" s="2">
        <v>828026</v>
      </c>
      <c r="C6" s="2">
        <v>826764</v>
      </c>
      <c r="D6" s="2">
        <v>825120</v>
      </c>
      <c r="E6" s="2">
        <v>823173</v>
      </c>
      <c r="F6" s="2">
        <v>822826</v>
      </c>
      <c r="G6" s="2">
        <v>822136</v>
      </c>
      <c r="H6" s="2">
        <v>821080</v>
      </c>
    </row>
    <row r="7" spans="1:8" ht="27.6" thickBot="1" x14ac:dyDescent="0.35">
      <c r="A7" s="1" t="s">
        <v>19</v>
      </c>
      <c r="B7" s="2">
        <v>438600</v>
      </c>
      <c r="C7" s="2">
        <v>438594</v>
      </c>
      <c r="D7" s="2">
        <v>438609</v>
      </c>
      <c r="E7" s="2">
        <v>438851</v>
      </c>
      <c r="F7" s="2">
        <v>439633</v>
      </c>
      <c r="G7" s="2">
        <v>440636</v>
      </c>
      <c r="H7" s="2">
        <v>441300</v>
      </c>
    </row>
    <row r="8" spans="1:8" ht="27.6" thickBot="1" x14ac:dyDescent="0.35">
      <c r="A8" s="1" t="s">
        <v>20</v>
      </c>
      <c r="B8" s="2">
        <v>553856</v>
      </c>
      <c r="C8" s="2">
        <v>552946</v>
      </c>
      <c r="D8" s="2">
        <v>551647</v>
      </c>
      <c r="E8" s="2">
        <v>551590</v>
      </c>
      <c r="F8" s="2">
        <v>551421</v>
      </c>
      <c r="G8" s="2">
        <v>551089</v>
      </c>
      <c r="H8" s="2">
        <v>551021</v>
      </c>
    </row>
    <row r="9" spans="1:8" ht="27.6" thickBot="1" x14ac:dyDescent="0.35">
      <c r="A9" s="1" t="s">
        <v>21</v>
      </c>
      <c r="B9" s="2">
        <v>516411</v>
      </c>
      <c r="C9" s="2">
        <v>516440</v>
      </c>
      <c r="D9" s="2">
        <v>515985</v>
      </c>
      <c r="E9" s="2">
        <v>516372</v>
      </c>
      <c r="F9" s="2">
        <v>516149</v>
      </c>
      <c r="G9" s="2">
        <v>517087</v>
      </c>
      <c r="H9" s="2">
        <v>518337</v>
      </c>
    </row>
    <row r="10" spans="1:8" ht="15" thickBot="1" x14ac:dyDescent="0.35">
      <c r="A10" s="1" t="s">
        <v>22</v>
      </c>
      <c r="B10" s="2">
        <v>511937</v>
      </c>
      <c r="C10" s="2">
        <v>511207</v>
      </c>
      <c r="D10" s="2">
        <v>510209</v>
      </c>
      <c r="E10" s="2">
        <v>509895</v>
      </c>
      <c r="F10" s="2">
        <v>509475</v>
      </c>
      <c r="G10" s="2">
        <v>508952</v>
      </c>
      <c r="H10" s="2">
        <v>508916</v>
      </c>
    </row>
    <row r="11" spans="1:8" ht="27.6" thickBot="1" x14ac:dyDescent="0.35">
      <c r="A11" s="1" t="s">
        <v>23</v>
      </c>
      <c r="B11" s="2">
        <v>1166313</v>
      </c>
      <c r="C11" s="2">
        <v>1169197</v>
      </c>
      <c r="D11" s="2">
        <v>1170071</v>
      </c>
      <c r="E11" s="2">
        <v>1172853</v>
      </c>
      <c r="F11" s="2">
        <v>1175025</v>
      </c>
      <c r="G11" s="2">
        <v>1178812</v>
      </c>
      <c r="H11" s="2">
        <v>1183203</v>
      </c>
    </row>
    <row r="12" spans="1:8" ht="27.6" thickBot="1" x14ac:dyDescent="0.35">
      <c r="A12" s="1" t="s">
        <v>24</v>
      </c>
      <c r="B12" s="2">
        <v>638638</v>
      </c>
      <c r="C12" s="2">
        <v>637609</v>
      </c>
      <c r="D12" s="2">
        <v>636356</v>
      </c>
      <c r="E12" s="2">
        <v>635711</v>
      </c>
      <c r="F12" s="2">
        <v>634718</v>
      </c>
      <c r="G12" s="2">
        <v>633925</v>
      </c>
      <c r="H12" s="2">
        <v>633178</v>
      </c>
    </row>
    <row r="13" spans="1:8" ht="15" thickBot="1" x14ac:dyDescent="0.35">
      <c r="A13" s="1" t="s">
        <v>25</v>
      </c>
      <c r="B13" s="2">
        <v>589030</v>
      </c>
      <c r="C13" s="2">
        <v>587417</v>
      </c>
      <c r="D13" s="2">
        <v>586299</v>
      </c>
      <c r="E13" s="2">
        <v>585261</v>
      </c>
      <c r="F13" s="2">
        <v>584676</v>
      </c>
      <c r="G13" s="2">
        <v>583698</v>
      </c>
      <c r="H13" s="2">
        <v>583056</v>
      </c>
    </row>
    <row r="14" spans="1:8" ht="27.6" thickBot="1" x14ac:dyDescent="0.35">
      <c r="A14" s="1" t="s">
        <v>26</v>
      </c>
      <c r="B14" s="2">
        <v>1230613</v>
      </c>
      <c r="C14" s="2">
        <v>1226602</v>
      </c>
      <c r="D14" s="2">
        <v>1221832</v>
      </c>
      <c r="E14" s="2">
        <v>1217676</v>
      </c>
      <c r="F14" s="2">
        <v>1213311</v>
      </c>
      <c r="G14" s="2">
        <v>1209838</v>
      </c>
      <c r="H14" s="2">
        <v>1205834</v>
      </c>
    </row>
    <row r="15" spans="1:8" ht="15" thickBot="1" x14ac:dyDescent="0.35">
      <c r="A15" s="1"/>
      <c r="B15" s="1"/>
      <c r="C15" s="1"/>
      <c r="D15" s="1"/>
      <c r="E15" s="1"/>
      <c r="F15" s="1"/>
      <c r="G15" s="1"/>
      <c r="H1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6370-1833-4A5E-9B53-7A83ADB05179}">
  <dimension ref="A1:H15"/>
  <sheetViews>
    <sheetView workbookViewId="0">
      <selection activeCell="B1" sqref="B1:H14"/>
    </sheetView>
  </sheetViews>
  <sheetFormatPr defaultRowHeight="14.4" x14ac:dyDescent="0.3"/>
  <cols>
    <col min="8" max="8" width="8" bestFit="1" customWidth="1"/>
  </cols>
  <sheetData>
    <row r="1" spans="1:8" ht="15" thickBot="1" x14ac:dyDescent="0.35">
      <c r="A1" s="1" t="s">
        <v>13</v>
      </c>
      <c r="B1" s="2">
        <v>1308632</v>
      </c>
      <c r="C1" s="2">
        <v>1324277</v>
      </c>
      <c r="D1" s="2">
        <v>1335084</v>
      </c>
      <c r="E1" s="2">
        <v>1274562</v>
      </c>
      <c r="F1" s="2">
        <v>1357326</v>
      </c>
      <c r="G1" s="2">
        <v>1381193</v>
      </c>
      <c r="H1" s="2">
        <v>1390500</v>
      </c>
    </row>
    <row r="2" spans="1:8" ht="27.6" thickBot="1" x14ac:dyDescent="0.35">
      <c r="A2" s="1" t="s">
        <v>14</v>
      </c>
      <c r="B2" s="2">
        <v>1369332</v>
      </c>
      <c r="C2" s="2">
        <v>1385141</v>
      </c>
      <c r="D2" s="2">
        <v>1397997</v>
      </c>
      <c r="E2" s="2">
        <v>1388644</v>
      </c>
      <c r="F2" s="2">
        <v>1439391</v>
      </c>
      <c r="G2" s="2">
        <v>1455940</v>
      </c>
      <c r="H2" s="2">
        <v>1465200</v>
      </c>
    </row>
    <row r="3" spans="1:8" ht="27.6" thickBot="1" x14ac:dyDescent="0.35">
      <c r="A3" s="1" t="s">
        <v>15</v>
      </c>
      <c r="B3" s="2">
        <v>642133</v>
      </c>
      <c r="C3" s="2">
        <v>644083</v>
      </c>
      <c r="D3" s="2">
        <v>643551</v>
      </c>
      <c r="E3" s="2">
        <v>636138</v>
      </c>
      <c r="F3" s="2">
        <v>652303</v>
      </c>
      <c r="G3" s="2">
        <v>654505</v>
      </c>
      <c r="H3" s="2">
        <v>655100</v>
      </c>
    </row>
    <row r="4" spans="1:8" ht="15" thickBot="1" x14ac:dyDescent="0.35">
      <c r="A4" s="1" t="s">
        <v>16</v>
      </c>
      <c r="B4" s="2">
        <v>584672</v>
      </c>
      <c r="C4" s="2">
        <v>589899</v>
      </c>
      <c r="D4" s="2">
        <v>591041</v>
      </c>
      <c r="E4" s="2">
        <v>578707</v>
      </c>
      <c r="F4" s="2">
        <v>605388</v>
      </c>
      <c r="G4" s="2">
        <v>613374</v>
      </c>
      <c r="H4" s="2">
        <v>615800</v>
      </c>
    </row>
    <row r="5" spans="1:8" ht="27.6" thickBot="1" x14ac:dyDescent="0.35">
      <c r="A5" s="1" t="s">
        <v>17</v>
      </c>
      <c r="B5" s="2">
        <v>294885</v>
      </c>
      <c r="C5" s="2">
        <v>294664</v>
      </c>
      <c r="D5" s="2">
        <v>293311</v>
      </c>
      <c r="E5" s="2">
        <v>282641</v>
      </c>
      <c r="F5" s="2">
        <v>293595</v>
      </c>
      <c r="G5" s="2">
        <v>293514</v>
      </c>
      <c r="H5" s="2">
        <v>292400</v>
      </c>
    </row>
    <row r="6" spans="1:8" ht="15" thickBot="1" x14ac:dyDescent="0.35">
      <c r="A6" s="1" t="s">
        <v>18</v>
      </c>
      <c r="B6" s="2">
        <v>820789</v>
      </c>
      <c r="C6" s="2">
        <v>820965</v>
      </c>
      <c r="D6" s="2">
        <v>817004</v>
      </c>
      <c r="E6" s="2">
        <v>797740</v>
      </c>
      <c r="F6" s="2">
        <v>812337</v>
      </c>
      <c r="G6" s="2">
        <v>811169</v>
      </c>
      <c r="H6" s="2">
        <v>809300</v>
      </c>
    </row>
    <row r="7" spans="1:8" ht="27.6" thickBot="1" x14ac:dyDescent="0.35">
      <c r="A7" s="1" t="s">
        <v>19</v>
      </c>
      <c r="B7" s="2">
        <v>442356</v>
      </c>
      <c r="C7" s="2">
        <v>443690</v>
      </c>
      <c r="D7" s="2">
        <v>442476</v>
      </c>
      <c r="E7" s="2">
        <v>437024</v>
      </c>
      <c r="F7" s="2">
        <v>449177</v>
      </c>
      <c r="G7" s="2">
        <v>450728</v>
      </c>
      <c r="H7" s="2">
        <v>451100</v>
      </c>
    </row>
    <row r="8" spans="1:8" ht="27.6" thickBot="1" x14ac:dyDescent="0.35">
      <c r="A8" s="1" t="s">
        <v>20</v>
      </c>
      <c r="B8" s="2">
        <v>551021</v>
      </c>
      <c r="C8" s="2">
        <v>551647</v>
      </c>
      <c r="D8" s="2">
        <v>550804</v>
      </c>
      <c r="E8" s="2">
        <v>542018</v>
      </c>
      <c r="F8" s="2">
        <v>555267</v>
      </c>
      <c r="G8" s="2">
        <v>556941</v>
      </c>
      <c r="H8" s="2">
        <v>556500</v>
      </c>
    </row>
    <row r="9" spans="1:8" ht="27.6" thickBot="1" x14ac:dyDescent="0.35">
      <c r="A9" s="1" t="s">
        <v>21</v>
      </c>
      <c r="B9" s="2">
        <v>520316</v>
      </c>
      <c r="C9" s="2">
        <v>522662</v>
      </c>
      <c r="D9" s="2">
        <v>522856</v>
      </c>
      <c r="E9" s="2">
        <v>514104</v>
      </c>
      <c r="F9" s="2">
        <v>528761</v>
      </c>
      <c r="G9" s="2">
        <v>530536</v>
      </c>
      <c r="H9" s="2">
        <v>531200</v>
      </c>
    </row>
    <row r="10" spans="1:8" ht="15" thickBot="1" x14ac:dyDescent="0.35">
      <c r="A10" s="1" t="s">
        <v>22</v>
      </c>
      <c r="B10" s="2">
        <v>509274</v>
      </c>
      <c r="C10" s="2">
        <v>509813</v>
      </c>
      <c r="D10" s="2">
        <v>508852</v>
      </c>
      <c r="E10" s="2">
        <v>503547</v>
      </c>
      <c r="F10" s="2">
        <v>514785</v>
      </c>
      <c r="G10" s="2">
        <v>517960</v>
      </c>
      <c r="H10" s="2">
        <v>518400</v>
      </c>
    </row>
    <row r="11" spans="1:8" ht="27.6" thickBot="1" x14ac:dyDescent="0.35">
      <c r="A11" s="1" t="s">
        <v>23</v>
      </c>
      <c r="B11" s="2">
        <v>1187667</v>
      </c>
      <c r="C11" s="2">
        <v>1191989</v>
      </c>
      <c r="D11" s="2">
        <v>1195327</v>
      </c>
      <c r="E11" s="2">
        <v>1184007</v>
      </c>
      <c r="F11" s="2">
        <v>1217200</v>
      </c>
      <c r="G11" s="2">
        <v>1226749</v>
      </c>
      <c r="H11" s="2">
        <v>1230100</v>
      </c>
    </row>
    <row r="12" spans="1:8" ht="27.6" thickBot="1" x14ac:dyDescent="0.35">
      <c r="A12" s="1" t="s">
        <v>24</v>
      </c>
      <c r="B12" s="2">
        <v>632492</v>
      </c>
      <c r="C12" s="2">
        <v>632015</v>
      </c>
      <c r="D12" s="2">
        <v>630522</v>
      </c>
      <c r="E12" s="2">
        <v>622367</v>
      </c>
      <c r="F12" s="2">
        <v>633133</v>
      </c>
      <c r="G12" s="2">
        <v>632864</v>
      </c>
      <c r="H12" s="2">
        <v>631500</v>
      </c>
    </row>
    <row r="13" spans="1:8" ht="15" thickBot="1" x14ac:dyDescent="0.35">
      <c r="A13" s="1" t="s">
        <v>25</v>
      </c>
      <c r="B13" s="2">
        <v>582921</v>
      </c>
      <c r="C13" s="2">
        <v>582555</v>
      </c>
      <c r="D13" s="2">
        <v>580119</v>
      </c>
      <c r="E13" s="2">
        <v>571862</v>
      </c>
      <c r="F13" s="2">
        <v>580531</v>
      </c>
      <c r="G13" s="2">
        <v>579944</v>
      </c>
      <c r="H13" s="2">
        <v>578300</v>
      </c>
    </row>
    <row r="14" spans="1:8" ht="27.6" thickBot="1" x14ac:dyDescent="0.35">
      <c r="A14" s="1" t="s">
        <v>26</v>
      </c>
      <c r="B14" s="2">
        <v>1203299</v>
      </c>
      <c r="C14" s="2">
        <v>1200539</v>
      </c>
      <c r="D14" s="2">
        <v>1192834</v>
      </c>
      <c r="E14" s="2">
        <v>1177500</v>
      </c>
      <c r="F14" s="2">
        <v>1188333</v>
      </c>
      <c r="G14" s="2">
        <v>1186163</v>
      </c>
      <c r="H14" s="2">
        <v>1182100</v>
      </c>
    </row>
    <row r="15" spans="1:8" ht="15" thickBot="1" x14ac:dyDescent="0.35">
      <c r="A15" s="1"/>
      <c r="B15" s="1"/>
      <c r="C15" s="1"/>
      <c r="D15" s="1"/>
      <c r="E15" s="1"/>
      <c r="F15" s="1"/>
      <c r="G15" s="1"/>
      <c r="H1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04BD-CE4C-4928-ABEB-D71E9BBF0457}">
  <dimension ref="A1:O15"/>
  <sheetViews>
    <sheetView workbookViewId="0">
      <selection activeCell="E17" sqref="E17"/>
    </sheetView>
  </sheetViews>
  <sheetFormatPr defaultRowHeight="14.4" x14ac:dyDescent="0.3"/>
  <cols>
    <col min="1" max="1" width="8.6640625" bestFit="1" customWidth="1"/>
  </cols>
  <sheetData>
    <row r="1" spans="1:15" ht="15" thickBot="1" x14ac:dyDescent="0.35">
      <c r="A1" s="1" t="s">
        <v>13</v>
      </c>
      <c r="B1" s="2">
        <v>1241664</v>
      </c>
      <c r="C1" s="2">
        <v>1246780</v>
      </c>
      <c r="D1" s="2">
        <v>1243201</v>
      </c>
      <c r="E1" s="2">
        <v>1259079</v>
      </c>
      <c r="F1" s="2">
        <v>1267449</v>
      </c>
      <c r="G1" s="2">
        <v>1280508</v>
      </c>
      <c r="H1" s="2">
        <v>1294513</v>
      </c>
      <c r="I1" s="2">
        <v>1308632</v>
      </c>
      <c r="J1" s="2">
        <v>1324277</v>
      </c>
      <c r="K1" s="2">
        <v>1335084</v>
      </c>
      <c r="L1" s="2">
        <v>1274562</v>
      </c>
      <c r="M1" s="2">
        <v>1357326</v>
      </c>
      <c r="N1" s="2">
        <v>1381193</v>
      </c>
      <c r="O1" s="2">
        <v>1390500</v>
      </c>
    </row>
    <row r="2" spans="1:15" ht="27.6" thickBot="1" x14ac:dyDescent="0.35">
      <c r="A2" s="1" t="s">
        <v>14</v>
      </c>
      <c r="B2" s="2">
        <v>1279345</v>
      </c>
      <c r="C2" s="2">
        <v>1291816</v>
      </c>
      <c r="D2" s="2">
        <v>1302336</v>
      </c>
      <c r="E2" s="2">
        <v>1315299</v>
      </c>
      <c r="F2" s="2">
        <v>1326876</v>
      </c>
      <c r="G2" s="2">
        <v>1338982</v>
      </c>
      <c r="H2" s="2">
        <v>1352795</v>
      </c>
      <c r="I2" s="2">
        <v>1369332</v>
      </c>
      <c r="J2" s="2">
        <v>1385141</v>
      </c>
      <c r="K2" s="2">
        <v>1397997</v>
      </c>
      <c r="L2" s="2">
        <v>1388644</v>
      </c>
      <c r="M2" s="2">
        <v>1439391</v>
      </c>
      <c r="N2" s="2">
        <v>1455940</v>
      </c>
      <c r="O2" s="2">
        <v>1465200</v>
      </c>
    </row>
    <row r="3" spans="1:15" ht="27.6" thickBot="1" x14ac:dyDescent="0.35">
      <c r="A3" s="1" t="s">
        <v>15</v>
      </c>
      <c r="B3" s="2">
        <v>636017</v>
      </c>
      <c r="C3" s="2">
        <v>636611</v>
      </c>
      <c r="D3" s="2">
        <v>636443</v>
      </c>
      <c r="E3" s="2">
        <v>637300</v>
      </c>
      <c r="F3" s="2">
        <v>637834</v>
      </c>
      <c r="G3" s="2">
        <v>638782</v>
      </c>
      <c r="H3" s="2">
        <v>640196</v>
      </c>
      <c r="I3" s="2">
        <v>642133</v>
      </c>
      <c r="J3" s="2">
        <v>644083</v>
      </c>
      <c r="K3" s="2">
        <v>643551</v>
      </c>
      <c r="L3" s="2">
        <v>636138</v>
      </c>
      <c r="M3" s="2">
        <v>652303</v>
      </c>
      <c r="N3" s="2">
        <v>654505</v>
      </c>
      <c r="O3" s="2">
        <v>655100</v>
      </c>
    </row>
    <row r="4" spans="1:15" ht="15" thickBot="1" x14ac:dyDescent="0.35">
      <c r="A4" s="1" t="s">
        <v>16</v>
      </c>
      <c r="B4" s="2">
        <v>571709</v>
      </c>
      <c r="C4" s="2">
        <v>572687</v>
      </c>
      <c r="D4" s="2">
        <v>573463</v>
      </c>
      <c r="E4" s="2">
        <v>575123</v>
      </c>
      <c r="F4" s="2">
        <v>576635</v>
      </c>
      <c r="G4" s="2">
        <v>578629</v>
      </c>
      <c r="H4" s="2">
        <v>580816</v>
      </c>
      <c r="I4" s="2">
        <v>584672</v>
      </c>
      <c r="J4" s="2">
        <v>589899</v>
      </c>
      <c r="K4" s="2">
        <v>591041</v>
      </c>
      <c r="L4" s="2">
        <v>578707</v>
      </c>
      <c r="M4" s="2">
        <v>605388</v>
      </c>
      <c r="N4" s="2">
        <v>613374</v>
      </c>
      <c r="O4" s="2">
        <v>615800</v>
      </c>
    </row>
    <row r="5" spans="1:15" ht="27.6" thickBot="1" x14ac:dyDescent="0.35">
      <c r="A5" s="1" t="s">
        <v>17</v>
      </c>
      <c r="B5" s="2">
        <v>303165</v>
      </c>
      <c r="C5" s="2">
        <v>301726</v>
      </c>
      <c r="D5" s="2">
        <v>299631</v>
      </c>
      <c r="E5" s="2">
        <v>299142</v>
      </c>
      <c r="F5" s="2">
        <v>297828</v>
      </c>
      <c r="G5" s="2">
        <v>296739</v>
      </c>
      <c r="H5" s="2">
        <v>295686</v>
      </c>
      <c r="I5" s="2">
        <v>294885</v>
      </c>
      <c r="J5" s="2">
        <v>294664</v>
      </c>
      <c r="K5" s="2">
        <v>293311</v>
      </c>
      <c r="L5" s="2">
        <v>282641</v>
      </c>
      <c r="M5" s="2">
        <v>293595</v>
      </c>
      <c r="N5" s="2">
        <v>293514</v>
      </c>
      <c r="O5" s="2">
        <v>292400</v>
      </c>
    </row>
    <row r="6" spans="1:15" ht="15" thickBot="1" x14ac:dyDescent="0.35">
      <c r="A6" s="1" t="s">
        <v>18</v>
      </c>
      <c r="B6" s="2">
        <v>828026</v>
      </c>
      <c r="C6" s="2">
        <v>826764</v>
      </c>
      <c r="D6" s="2">
        <v>825120</v>
      </c>
      <c r="E6" s="2">
        <v>823173</v>
      </c>
      <c r="F6" s="2">
        <v>822826</v>
      </c>
      <c r="G6" s="2">
        <v>822136</v>
      </c>
      <c r="H6" s="2">
        <v>821080</v>
      </c>
      <c r="I6" s="2">
        <v>820789</v>
      </c>
      <c r="J6" s="2">
        <v>820965</v>
      </c>
      <c r="K6" s="2">
        <v>817004</v>
      </c>
      <c r="L6" s="2">
        <v>797740</v>
      </c>
      <c r="M6" s="2">
        <v>812337</v>
      </c>
      <c r="N6" s="2">
        <v>811169</v>
      </c>
      <c r="O6" s="2">
        <v>809300</v>
      </c>
    </row>
    <row r="7" spans="1:15" ht="27.6" thickBot="1" x14ac:dyDescent="0.35">
      <c r="A7" s="1" t="s">
        <v>19</v>
      </c>
      <c r="B7" s="2">
        <v>438600</v>
      </c>
      <c r="C7" s="2">
        <v>438594</v>
      </c>
      <c r="D7" s="2">
        <v>438609</v>
      </c>
      <c r="E7" s="2">
        <v>438851</v>
      </c>
      <c r="F7" s="2">
        <v>439633</v>
      </c>
      <c r="G7" s="2">
        <v>440636</v>
      </c>
      <c r="H7" s="2">
        <v>441300</v>
      </c>
      <c r="I7" s="2">
        <v>442356</v>
      </c>
      <c r="J7" s="2">
        <v>443690</v>
      </c>
      <c r="K7" s="2">
        <v>442476</v>
      </c>
      <c r="L7" s="2">
        <v>437024</v>
      </c>
      <c r="M7" s="2">
        <v>449177</v>
      </c>
      <c r="N7" s="2">
        <v>450728</v>
      </c>
      <c r="O7" s="2">
        <v>451100</v>
      </c>
    </row>
    <row r="8" spans="1:15" ht="27.6" thickBot="1" x14ac:dyDescent="0.35">
      <c r="A8" s="1" t="s">
        <v>20</v>
      </c>
      <c r="B8" s="2">
        <v>553856</v>
      </c>
      <c r="C8" s="2">
        <v>552946</v>
      </c>
      <c r="D8" s="2">
        <v>551647</v>
      </c>
      <c r="E8" s="2">
        <v>551590</v>
      </c>
      <c r="F8" s="2">
        <v>551421</v>
      </c>
      <c r="G8" s="2">
        <v>551089</v>
      </c>
      <c r="H8" s="2">
        <v>551021</v>
      </c>
      <c r="I8" s="2">
        <v>551021</v>
      </c>
      <c r="J8" s="2">
        <v>551647</v>
      </c>
      <c r="K8" s="2">
        <v>550804</v>
      </c>
      <c r="L8" s="2">
        <v>542018</v>
      </c>
      <c r="M8" s="2">
        <v>555267</v>
      </c>
      <c r="N8" s="2">
        <v>556941</v>
      </c>
      <c r="O8" s="2">
        <v>556500</v>
      </c>
    </row>
    <row r="9" spans="1:15" ht="27.6" thickBot="1" x14ac:dyDescent="0.35">
      <c r="A9" s="1" t="s">
        <v>21</v>
      </c>
      <c r="B9" s="2">
        <v>516411</v>
      </c>
      <c r="C9" s="2">
        <v>516440</v>
      </c>
      <c r="D9" s="2">
        <v>515985</v>
      </c>
      <c r="E9" s="2">
        <v>516372</v>
      </c>
      <c r="F9" s="2">
        <v>516149</v>
      </c>
      <c r="G9" s="2">
        <v>517087</v>
      </c>
      <c r="H9" s="2">
        <v>518337</v>
      </c>
      <c r="I9" s="2">
        <v>520316</v>
      </c>
      <c r="J9" s="2">
        <v>522662</v>
      </c>
      <c r="K9" s="2">
        <v>522856</v>
      </c>
      <c r="L9" s="2">
        <v>514104</v>
      </c>
      <c r="M9" s="2">
        <v>528761</v>
      </c>
      <c r="N9" s="2">
        <v>530536</v>
      </c>
      <c r="O9" s="2">
        <v>531200</v>
      </c>
    </row>
    <row r="10" spans="1:15" ht="15" thickBot="1" x14ac:dyDescent="0.35">
      <c r="A10" s="1" t="s">
        <v>22</v>
      </c>
      <c r="B10" s="2">
        <v>511937</v>
      </c>
      <c r="C10" s="2">
        <v>511207</v>
      </c>
      <c r="D10" s="2">
        <v>510209</v>
      </c>
      <c r="E10" s="2">
        <v>509895</v>
      </c>
      <c r="F10" s="2">
        <v>509475</v>
      </c>
      <c r="G10" s="2">
        <v>508952</v>
      </c>
      <c r="H10" s="2">
        <v>508916</v>
      </c>
      <c r="I10" s="2">
        <v>509274</v>
      </c>
      <c r="J10" s="2">
        <v>509813</v>
      </c>
      <c r="K10" s="2">
        <v>508852</v>
      </c>
      <c r="L10" s="2">
        <v>503547</v>
      </c>
      <c r="M10" s="2">
        <v>514785</v>
      </c>
      <c r="N10" s="2">
        <v>517960</v>
      </c>
      <c r="O10" s="2">
        <v>518400</v>
      </c>
    </row>
    <row r="11" spans="1:15" ht="27.6" thickBot="1" x14ac:dyDescent="0.35">
      <c r="A11" s="1" t="s">
        <v>23</v>
      </c>
      <c r="B11" s="2">
        <v>1166313</v>
      </c>
      <c r="C11" s="2">
        <v>1169197</v>
      </c>
      <c r="D11" s="2">
        <v>1170071</v>
      </c>
      <c r="E11" s="2">
        <v>1172853</v>
      </c>
      <c r="F11" s="2">
        <v>1175025</v>
      </c>
      <c r="G11" s="2">
        <v>1178812</v>
      </c>
      <c r="H11" s="2">
        <v>1183203</v>
      </c>
      <c r="I11" s="2">
        <v>1187667</v>
      </c>
      <c r="J11" s="2">
        <v>1191989</v>
      </c>
      <c r="K11" s="2">
        <v>1195327</v>
      </c>
      <c r="L11" s="2">
        <v>1184007</v>
      </c>
      <c r="M11" s="2">
        <v>1217200</v>
      </c>
      <c r="N11" s="2">
        <v>1226749</v>
      </c>
      <c r="O11" s="2">
        <v>1230100</v>
      </c>
    </row>
    <row r="12" spans="1:15" ht="27.6" thickBot="1" x14ac:dyDescent="0.35">
      <c r="A12" s="1" t="s">
        <v>24</v>
      </c>
      <c r="B12" s="2">
        <v>638638</v>
      </c>
      <c r="C12" s="2">
        <v>637609</v>
      </c>
      <c r="D12" s="2">
        <v>636356</v>
      </c>
      <c r="E12" s="2">
        <v>635711</v>
      </c>
      <c r="F12" s="2">
        <v>634718</v>
      </c>
      <c r="G12" s="2">
        <v>633925</v>
      </c>
      <c r="H12" s="2">
        <v>633178</v>
      </c>
      <c r="I12" s="2">
        <v>632492</v>
      </c>
      <c r="J12" s="2">
        <v>632015</v>
      </c>
      <c r="K12" s="2">
        <v>630522</v>
      </c>
      <c r="L12" s="2">
        <v>622367</v>
      </c>
      <c r="M12" s="2">
        <v>633133</v>
      </c>
      <c r="N12" s="2">
        <v>632864</v>
      </c>
      <c r="O12" s="2">
        <v>631500</v>
      </c>
    </row>
    <row r="13" spans="1:15" ht="15" thickBot="1" x14ac:dyDescent="0.35">
      <c r="A13" s="1" t="s">
        <v>25</v>
      </c>
      <c r="B13" s="2">
        <v>589030</v>
      </c>
      <c r="C13" s="2">
        <v>587417</v>
      </c>
      <c r="D13" s="2">
        <v>586299</v>
      </c>
      <c r="E13" s="2">
        <v>585261</v>
      </c>
      <c r="F13" s="2">
        <v>584676</v>
      </c>
      <c r="G13" s="2">
        <v>583698</v>
      </c>
      <c r="H13" s="2">
        <v>583056</v>
      </c>
      <c r="I13" s="2">
        <v>582921</v>
      </c>
      <c r="J13" s="2">
        <v>582555</v>
      </c>
      <c r="K13" s="2">
        <v>580119</v>
      </c>
      <c r="L13" s="2">
        <v>571862</v>
      </c>
      <c r="M13" s="2">
        <v>580531</v>
      </c>
      <c r="N13" s="2">
        <v>579944</v>
      </c>
      <c r="O13" s="2">
        <v>578300</v>
      </c>
    </row>
    <row r="14" spans="1:15" ht="27.6" thickBot="1" x14ac:dyDescent="0.35">
      <c r="A14" s="1" t="s">
        <v>26</v>
      </c>
      <c r="B14" s="2">
        <v>1230613</v>
      </c>
      <c r="C14" s="2">
        <v>1226602</v>
      </c>
      <c r="D14" s="2">
        <v>1221832</v>
      </c>
      <c r="E14" s="2">
        <v>1217676</v>
      </c>
      <c r="F14" s="2">
        <v>1213311</v>
      </c>
      <c r="G14" s="2">
        <v>1209838</v>
      </c>
      <c r="H14" s="2">
        <v>1205834</v>
      </c>
      <c r="I14" s="2">
        <v>1203299</v>
      </c>
      <c r="J14" s="2">
        <v>1200539</v>
      </c>
      <c r="K14" s="2">
        <v>1192834</v>
      </c>
      <c r="L14" s="2">
        <v>1177500</v>
      </c>
      <c r="M14" s="2">
        <v>1188333</v>
      </c>
      <c r="N14" s="2">
        <v>1186163</v>
      </c>
      <c r="O14" s="2">
        <v>1182100</v>
      </c>
    </row>
    <row r="15" spans="1:15" ht="15" thickBot="1" x14ac:dyDescent="0.35">
      <c r="A15" s="1"/>
      <c r="B15" s="1"/>
      <c r="C15" s="1"/>
      <c r="D15" s="1"/>
      <c r="E15" s="1"/>
      <c r="F15" s="1"/>
      <c r="G15" s="1"/>
      <c r="H15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5448-7683-4588-B87D-B3FE215E055F}">
  <dimension ref="A1:O15"/>
  <sheetViews>
    <sheetView tabSelected="1" workbookViewId="0">
      <selection activeCell="I22" sqref="I22"/>
    </sheetView>
  </sheetViews>
  <sheetFormatPr defaultRowHeight="14.4" x14ac:dyDescent="0.3"/>
  <sheetData>
    <row r="1" spans="1:15" ht="27.6" thickBot="1" x14ac:dyDescent="0.35">
      <c r="A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ht="15" thickBot="1" x14ac:dyDescent="0.35">
      <c r="A2">
        <v>2011</v>
      </c>
      <c r="B2" s="2">
        <v>1241664</v>
      </c>
      <c r="C2" s="2">
        <v>1279345</v>
      </c>
      <c r="D2" s="2">
        <v>636017</v>
      </c>
      <c r="E2" s="2">
        <v>571709</v>
      </c>
      <c r="F2" s="2">
        <v>303165</v>
      </c>
      <c r="G2" s="2">
        <v>828026</v>
      </c>
      <c r="H2" s="2">
        <v>438600</v>
      </c>
      <c r="I2" s="2">
        <v>553856</v>
      </c>
      <c r="J2" s="2">
        <v>516411</v>
      </c>
      <c r="K2" s="2">
        <v>511937</v>
      </c>
      <c r="L2" s="2">
        <v>1166313</v>
      </c>
      <c r="M2" s="2">
        <v>638638</v>
      </c>
      <c r="N2" s="2">
        <v>589030</v>
      </c>
      <c r="O2" s="2">
        <v>1230613</v>
      </c>
    </row>
    <row r="3" spans="1:15" ht="15" thickBot="1" x14ac:dyDescent="0.35">
      <c r="A3">
        <v>2012</v>
      </c>
      <c r="B3" s="2">
        <v>1246780</v>
      </c>
      <c r="C3" s="2">
        <v>1291816</v>
      </c>
      <c r="D3" s="2">
        <v>636611</v>
      </c>
      <c r="E3" s="2">
        <v>572687</v>
      </c>
      <c r="F3" s="2">
        <v>301726</v>
      </c>
      <c r="G3" s="2">
        <v>826764</v>
      </c>
      <c r="H3" s="2">
        <v>438594</v>
      </c>
      <c r="I3" s="2">
        <v>552946</v>
      </c>
      <c r="J3" s="2">
        <v>516440</v>
      </c>
      <c r="K3" s="2">
        <v>511207</v>
      </c>
      <c r="L3" s="2">
        <v>1169197</v>
      </c>
      <c r="M3" s="2">
        <v>637609</v>
      </c>
      <c r="N3" s="2">
        <v>587417</v>
      </c>
      <c r="O3" s="2">
        <v>1226602</v>
      </c>
    </row>
    <row r="4" spans="1:15" ht="15" thickBot="1" x14ac:dyDescent="0.35">
      <c r="A4">
        <v>2013</v>
      </c>
      <c r="B4" s="2">
        <v>1243201</v>
      </c>
      <c r="C4" s="2">
        <v>1302336</v>
      </c>
      <c r="D4" s="2">
        <v>636443</v>
      </c>
      <c r="E4" s="2">
        <v>573463</v>
      </c>
      <c r="F4" s="2">
        <v>299631</v>
      </c>
      <c r="G4" s="2">
        <v>825120</v>
      </c>
      <c r="H4" s="2">
        <v>438609</v>
      </c>
      <c r="I4" s="2">
        <v>551647</v>
      </c>
      <c r="J4" s="2">
        <v>515985</v>
      </c>
      <c r="K4" s="2">
        <v>510209</v>
      </c>
      <c r="L4" s="2">
        <v>1170071</v>
      </c>
      <c r="M4" s="2">
        <v>636356</v>
      </c>
      <c r="N4" s="2">
        <v>586299</v>
      </c>
      <c r="O4" s="2">
        <v>1221832</v>
      </c>
    </row>
    <row r="5" spans="1:15" ht="15" thickBot="1" x14ac:dyDescent="0.35">
      <c r="A5">
        <v>2014</v>
      </c>
      <c r="B5" s="2">
        <v>1259079</v>
      </c>
      <c r="C5" s="2">
        <v>1315299</v>
      </c>
      <c r="D5" s="2">
        <v>637300</v>
      </c>
      <c r="E5" s="2">
        <v>575123</v>
      </c>
      <c r="F5" s="2">
        <v>299142</v>
      </c>
      <c r="G5" s="2">
        <v>823173</v>
      </c>
      <c r="H5" s="2">
        <v>438851</v>
      </c>
      <c r="I5" s="2">
        <v>551590</v>
      </c>
      <c r="J5" s="2">
        <v>516372</v>
      </c>
      <c r="K5" s="2">
        <v>509895</v>
      </c>
      <c r="L5" s="2">
        <v>1172853</v>
      </c>
      <c r="M5" s="2">
        <v>635711</v>
      </c>
      <c r="N5" s="2">
        <v>585261</v>
      </c>
      <c r="O5" s="2">
        <v>1217676</v>
      </c>
    </row>
    <row r="6" spans="1:15" ht="15" thickBot="1" x14ac:dyDescent="0.35">
      <c r="A6">
        <v>2015</v>
      </c>
      <c r="B6" s="2">
        <v>1267449</v>
      </c>
      <c r="C6" s="2">
        <v>1326876</v>
      </c>
      <c r="D6" s="2">
        <v>637834</v>
      </c>
      <c r="E6" s="2">
        <v>576635</v>
      </c>
      <c r="F6" s="2">
        <v>297828</v>
      </c>
      <c r="G6" s="2">
        <v>822826</v>
      </c>
      <c r="H6" s="2">
        <v>439633</v>
      </c>
      <c r="I6" s="2">
        <v>551421</v>
      </c>
      <c r="J6" s="2">
        <v>516149</v>
      </c>
      <c r="K6" s="2">
        <v>509475</v>
      </c>
      <c r="L6" s="2">
        <v>1175025</v>
      </c>
      <c r="M6" s="2">
        <v>634718</v>
      </c>
      <c r="N6" s="2">
        <v>584676</v>
      </c>
      <c r="O6" s="2">
        <v>1213311</v>
      </c>
    </row>
    <row r="7" spans="1:15" ht="15" thickBot="1" x14ac:dyDescent="0.35">
      <c r="A7">
        <v>2016</v>
      </c>
      <c r="B7" s="2">
        <v>1280508</v>
      </c>
      <c r="C7" s="2">
        <v>1338982</v>
      </c>
      <c r="D7" s="2">
        <v>638782</v>
      </c>
      <c r="E7" s="2">
        <v>578629</v>
      </c>
      <c r="F7" s="2">
        <v>296739</v>
      </c>
      <c r="G7" s="2">
        <v>822136</v>
      </c>
      <c r="H7" s="2">
        <v>440636</v>
      </c>
      <c r="I7" s="2">
        <v>551089</v>
      </c>
      <c r="J7" s="2">
        <v>517087</v>
      </c>
      <c r="K7" s="2">
        <v>508952</v>
      </c>
      <c r="L7" s="2">
        <v>1178812</v>
      </c>
      <c r="M7" s="2">
        <v>633925</v>
      </c>
      <c r="N7" s="2">
        <v>583698</v>
      </c>
      <c r="O7" s="2">
        <v>1209838</v>
      </c>
    </row>
    <row r="8" spans="1:15" ht="15" thickBot="1" x14ac:dyDescent="0.35">
      <c r="A8">
        <v>2017</v>
      </c>
      <c r="B8" s="2">
        <v>1294513</v>
      </c>
      <c r="C8" s="2">
        <v>1352795</v>
      </c>
      <c r="D8" s="2">
        <v>640196</v>
      </c>
      <c r="E8" s="2">
        <v>580816</v>
      </c>
      <c r="F8" s="2">
        <v>295686</v>
      </c>
      <c r="G8" s="2">
        <v>821080</v>
      </c>
      <c r="H8" s="2">
        <v>441300</v>
      </c>
      <c r="I8" s="2">
        <v>551021</v>
      </c>
      <c r="J8" s="2">
        <v>518337</v>
      </c>
      <c r="K8" s="2">
        <v>508916</v>
      </c>
      <c r="L8" s="2">
        <v>1183203</v>
      </c>
      <c r="M8" s="2">
        <v>633178</v>
      </c>
      <c r="N8" s="2">
        <v>583056</v>
      </c>
      <c r="O8" s="2">
        <v>1205834</v>
      </c>
    </row>
    <row r="9" spans="1:15" ht="15" thickBot="1" x14ac:dyDescent="0.35">
      <c r="A9">
        <v>2018</v>
      </c>
      <c r="B9" s="2">
        <v>1308632</v>
      </c>
      <c r="C9" s="2">
        <v>1369332</v>
      </c>
      <c r="D9" s="2">
        <v>642133</v>
      </c>
      <c r="E9" s="2">
        <v>584672</v>
      </c>
      <c r="F9" s="2">
        <v>294885</v>
      </c>
      <c r="G9" s="2">
        <v>820789</v>
      </c>
      <c r="H9" s="2">
        <v>442356</v>
      </c>
      <c r="I9" s="2">
        <v>551021</v>
      </c>
      <c r="J9" s="2">
        <v>520316</v>
      </c>
      <c r="K9" s="2">
        <v>509274</v>
      </c>
      <c r="L9" s="2">
        <v>1187667</v>
      </c>
      <c r="M9" s="2">
        <v>632492</v>
      </c>
      <c r="N9" s="2">
        <v>582921</v>
      </c>
      <c r="O9" s="2">
        <v>1203299</v>
      </c>
    </row>
    <row r="10" spans="1:15" ht="15" thickBot="1" x14ac:dyDescent="0.35">
      <c r="A10">
        <v>2019</v>
      </c>
      <c r="B10" s="2">
        <v>1324277</v>
      </c>
      <c r="C10" s="2">
        <v>1385141</v>
      </c>
      <c r="D10" s="2">
        <v>644083</v>
      </c>
      <c r="E10" s="2">
        <v>589899</v>
      </c>
      <c r="F10" s="2">
        <v>294664</v>
      </c>
      <c r="G10" s="2">
        <v>820965</v>
      </c>
      <c r="H10" s="2">
        <v>443690</v>
      </c>
      <c r="I10" s="2">
        <v>551647</v>
      </c>
      <c r="J10" s="2">
        <v>522662</v>
      </c>
      <c r="K10" s="2">
        <v>509813</v>
      </c>
      <c r="L10" s="2">
        <v>1191989</v>
      </c>
      <c r="M10" s="2">
        <v>632015</v>
      </c>
      <c r="N10" s="2">
        <v>582555</v>
      </c>
      <c r="O10" s="2">
        <v>1200539</v>
      </c>
    </row>
    <row r="11" spans="1:15" ht="15" thickBot="1" x14ac:dyDescent="0.35">
      <c r="A11">
        <v>2020</v>
      </c>
      <c r="B11" s="2">
        <v>1335084</v>
      </c>
      <c r="C11" s="2">
        <v>1397997</v>
      </c>
      <c r="D11" s="2">
        <v>643551</v>
      </c>
      <c r="E11" s="2">
        <v>591041</v>
      </c>
      <c r="F11" s="2">
        <v>293311</v>
      </c>
      <c r="G11" s="2">
        <v>817004</v>
      </c>
      <c r="H11" s="2">
        <v>442476</v>
      </c>
      <c r="I11" s="2">
        <v>550804</v>
      </c>
      <c r="J11" s="2">
        <v>522856</v>
      </c>
      <c r="K11" s="2">
        <v>508852</v>
      </c>
      <c r="L11" s="2">
        <v>1195327</v>
      </c>
      <c r="M11" s="2">
        <v>630522</v>
      </c>
      <c r="N11" s="2">
        <v>580119</v>
      </c>
      <c r="O11" s="2">
        <v>1192834</v>
      </c>
    </row>
    <row r="12" spans="1:15" ht="15" thickBot="1" x14ac:dyDescent="0.35">
      <c r="A12">
        <v>2021</v>
      </c>
      <c r="B12" s="2">
        <v>1274562</v>
      </c>
      <c r="C12" s="2">
        <v>1388644</v>
      </c>
      <c r="D12" s="2">
        <v>636138</v>
      </c>
      <c r="E12" s="2">
        <v>578707</v>
      </c>
      <c r="F12" s="2">
        <v>282641</v>
      </c>
      <c r="G12" s="2">
        <v>797740</v>
      </c>
      <c r="H12" s="2">
        <v>437024</v>
      </c>
      <c r="I12" s="2">
        <v>542018</v>
      </c>
      <c r="J12" s="2">
        <v>514104</v>
      </c>
      <c r="K12" s="2">
        <v>503547</v>
      </c>
      <c r="L12" s="2">
        <v>1184007</v>
      </c>
      <c r="M12" s="2">
        <v>622367</v>
      </c>
      <c r="N12" s="2">
        <v>571862</v>
      </c>
      <c r="O12" s="2">
        <v>1177500</v>
      </c>
    </row>
    <row r="13" spans="1:15" ht="15" thickBot="1" x14ac:dyDescent="0.35">
      <c r="A13">
        <v>2022</v>
      </c>
      <c r="B13" s="2">
        <v>1357326</v>
      </c>
      <c r="C13" s="2">
        <v>1439391</v>
      </c>
      <c r="D13" s="2">
        <v>652303</v>
      </c>
      <c r="E13" s="2">
        <v>605388</v>
      </c>
      <c r="F13" s="2">
        <v>293595</v>
      </c>
      <c r="G13" s="2">
        <v>812337</v>
      </c>
      <c r="H13" s="2">
        <v>449177</v>
      </c>
      <c r="I13" s="2">
        <v>555267</v>
      </c>
      <c r="J13" s="2">
        <v>528761</v>
      </c>
      <c r="K13" s="2">
        <v>514785</v>
      </c>
      <c r="L13" s="2">
        <v>1217200</v>
      </c>
      <c r="M13" s="2">
        <v>633133</v>
      </c>
      <c r="N13" s="2">
        <v>580531</v>
      </c>
      <c r="O13" s="2">
        <v>1188333</v>
      </c>
    </row>
    <row r="14" spans="1:15" ht="15" thickBot="1" x14ac:dyDescent="0.35">
      <c r="A14">
        <v>2023</v>
      </c>
      <c r="B14" s="2">
        <v>1381193</v>
      </c>
      <c r="C14" s="2">
        <v>1455940</v>
      </c>
      <c r="D14" s="2">
        <v>654505</v>
      </c>
      <c r="E14" s="2">
        <v>613374</v>
      </c>
      <c r="F14" s="2">
        <v>293514</v>
      </c>
      <c r="G14" s="2">
        <v>811169</v>
      </c>
      <c r="H14" s="2">
        <v>450728</v>
      </c>
      <c r="I14" s="2">
        <v>556941</v>
      </c>
      <c r="J14" s="2">
        <v>530536</v>
      </c>
      <c r="K14" s="2">
        <v>517960</v>
      </c>
      <c r="L14" s="2">
        <v>1226749</v>
      </c>
      <c r="M14" s="2">
        <v>632864</v>
      </c>
      <c r="N14" s="2">
        <v>579944</v>
      </c>
      <c r="O14" s="2">
        <v>1186163</v>
      </c>
    </row>
    <row r="15" spans="1:15" ht="15" thickBot="1" x14ac:dyDescent="0.35">
      <c r="A15">
        <v>2024</v>
      </c>
      <c r="B15" s="2">
        <v>1390500</v>
      </c>
      <c r="C15" s="2">
        <v>1465200</v>
      </c>
      <c r="D15" s="2">
        <v>655100</v>
      </c>
      <c r="E15" s="2">
        <v>615800</v>
      </c>
      <c r="F15" s="2">
        <v>292400</v>
      </c>
      <c r="G15" s="2">
        <v>809300</v>
      </c>
      <c r="H15" s="2">
        <v>451100</v>
      </c>
      <c r="I15" s="2">
        <v>556500</v>
      </c>
      <c r="J15" s="2">
        <v>531200</v>
      </c>
      <c r="K15" s="2">
        <v>518400</v>
      </c>
      <c r="L15" s="2">
        <v>1230100</v>
      </c>
      <c r="M15" s="2">
        <v>631500</v>
      </c>
      <c r="N15" s="2">
        <v>578300</v>
      </c>
      <c r="O15" s="2">
        <v>1182100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ČR</vt:lpstr>
      <vt:lpstr>2011-17</vt:lpstr>
      <vt:lpstr>2018-24</vt:lpstr>
      <vt:lpstr>2011-24</vt:lpstr>
      <vt:lpstr>Populace 2011-24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Urík</dc:creator>
  <cp:lastModifiedBy>Petr Urík</cp:lastModifiedBy>
  <dcterms:created xsi:type="dcterms:W3CDTF">2026-02-02T22:25:47Z</dcterms:created>
  <dcterms:modified xsi:type="dcterms:W3CDTF">2026-02-03T08:42:29Z</dcterms:modified>
</cp:coreProperties>
</file>